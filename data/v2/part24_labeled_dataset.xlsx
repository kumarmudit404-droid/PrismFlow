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tions" sheetId="1" state="visible" r:id="rId1"/>
    <sheet xmlns:r="http://schemas.openxmlformats.org/officeDocument/2006/relationships" name="Dataset" sheetId="2" state="visible" r:id="rId2"/>
    <sheet xmlns:r="http://schemas.openxmlformats.org/officeDocument/2006/relationships" name="Progress"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1"/>
    </font>
    <font>
      <name val="Arial"/>
      <charset val="1"/>
      <family val="0"/>
      <b val="1"/>
      <color rgb="FFFFFFFF"/>
      <sz val="10"/>
    </font>
    <font>
      <name val="Arial"/>
      <charset val="1"/>
      <family val="0"/>
      <i val="1"/>
      <sz val="10"/>
    </font>
    <font>
      <name val="Times New Roman"/>
      <family val="1"/>
      <sz val="10"/>
    </font>
    <font>
      <name val="Calibri"/>
      <charset val="1"/>
      <family val="2"/>
      <color theme="1"/>
      <sz val="10"/>
    </font>
    <font>
      <name val="Times New Roman"/>
      <family val="1"/>
      <color theme="1"/>
      <sz val="10"/>
    </font>
    <font>
      <name val="Arial"/>
      <charset val="1"/>
      <family val="0"/>
      <sz val="11"/>
    </font>
    <font>
      <name val="Arial"/>
      <charset val="1"/>
      <family val="0"/>
      <b val="1"/>
      <sz val="10"/>
    </font>
  </fonts>
  <fills count="4">
    <fill>
      <patternFill/>
    </fill>
    <fill>
      <patternFill patternType="gray125"/>
    </fill>
    <fill>
      <patternFill patternType="solid">
        <fgColor rgb="FF2E4053"/>
        <bgColor rgb="FF333399"/>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5" fillId="0" borderId="1" applyAlignment="1" pivotButton="0" quotePrefix="0" xfId="0">
      <alignment horizontal="center" vertical="bottom"/>
    </xf>
    <xf numFmtId="0" fontId="9" fillId="0" borderId="1" applyAlignment="1" pivotButton="0" quotePrefix="0" xfId="0">
      <alignment horizontal="general" vertical="top" wrapText="1"/>
    </xf>
    <xf numFmtId="0" fontId="10" fillId="0" borderId="0" applyAlignment="1" pivotButton="0" quotePrefix="0" xfId="0">
      <alignment horizontal="general" vertical="bottom" wrapText="1"/>
    </xf>
    <xf numFmtId="0" fontId="11" fillId="0" borderId="0" applyAlignment="1" pivotButton="0" quotePrefix="0" xfId="0">
      <alignment horizontal="general" vertical="bottom"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5" fillId="0" borderId="1" applyAlignment="1" pivotButton="0" quotePrefix="0" xfId="0">
      <alignment horizontal="center" vertical="bottom"/>
    </xf>
    <xf numFmtId="0" fontId="9" fillId="0" borderId="1" applyAlignment="1" pivotButton="0" quotePrefix="0" xfId="0">
      <alignment horizontal="general" vertical="top" wrapText="1"/>
    </xf>
    <xf numFmtId="0" fontId="10" fillId="0" borderId="0" applyAlignment="1" pivotButton="0" quotePrefix="0" xfId="0">
      <alignment horizontal="general" vertical="bottom" wrapText="1"/>
    </xf>
    <xf numFmtId="0" fontId="11" fillId="0" borderId="0" applyAlignment="1" pivotButton="0" quotePrefix="0" xfId="0">
      <alignment horizontal="general" vertical="bottom"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E405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0" showOutlineSymbols="1" defaultGridColor="1" view="normal" topLeftCell="A17" colorId="64" zoomScale="90" zoomScaleNormal="90" zoomScalePageLayoutView="100" workbookViewId="0">
      <selection pane="topLeft" activeCell="A3" activeCellId="0" sqref="A3"/>
    </sheetView>
  </sheetViews>
  <sheetFormatPr baseColWidth="8" defaultColWidth="8.6796875" defaultRowHeight="15" customHeight="0" zeroHeight="0" outlineLevelRow="0"/>
  <cols>
    <col width="100" customWidth="1" style="15" min="1" max="1"/>
  </cols>
  <sheetData>
    <row r="1" ht="15" customHeight="1" s="16">
      <c r="A1" s="17" t="inlineStr">
        <is>
          <t xml:space="preserve"> </t>
        </is>
      </c>
    </row>
    <row r="2" ht="15" customHeight="1" s="16">
      <c r="A2" s="18" t="n"/>
    </row>
    <row r="3" ht="15" customHeight="1" s="16">
      <c r="A3" s="19" t="inlineStr">
        <is>
          <t>PURPOSE</t>
        </is>
      </c>
    </row>
    <row r="4" ht="75" customHeight="1" s="16">
      <c r="A4" s="18" t="inlineStr">
        <is>
          <t>This workbook is the ground-truth dataset Part 24 needs before it can run. PrismFlow V2 will be pointed at each idea's pitch text, and its four live angles (Tech, Financial, Sentiment, Market) will produce claims and a fused recommendation. Those outputs get scored against the ACTUAL OUTCOME you record here -- Expected Calibration Error, Brier score, and whether the system's confidence discount (ENIV) behaves sensibly, all depend on this sheet being real.</t>
        </is>
      </c>
    </row>
    <row r="5" ht="15" customHeight="1" s="16">
      <c r="A5" s="18" t="n"/>
    </row>
    <row r="6" ht="60" customHeight="1" s="16">
      <c r="A6" s="18" t="inlineStr">
        <is>
          <t>NOTHING IN THE 'Dataset' TAB IS FABRICATED. Row 2 is one worked EXAMPLE showing the expected format -- delete it or leave it as a reference, your call, but do not treat it as real data. Every other row is blank and must be filled from your own research into real past ideas with known, verifiable outcomes.</t>
        </is>
      </c>
    </row>
    <row r="7" ht="15" customHeight="1" s="16">
      <c r="A7" s="18" t="n"/>
    </row>
    <row r="8" ht="15" customHeight="1" s="16">
      <c r="A8" s="19" t="inlineStr">
        <is>
          <t>COLUMN DEFINITIONS</t>
        </is>
      </c>
    </row>
    <row r="9" ht="15" customHeight="1" s="16">
      <c r="A9" s="18" t="inlineStr">
        <is>
          <t>id -- 001 to 050, already filled in.</t>
        </is>
      </c>
    </row>
    <row r="10" ht="45" customHeight="1" s="16">
      <c r="A10" s="18" t="inlineStr">
        <is>
          <t>idea_pitch -- Write the idea as a short pitch/description, roughly the way you'd phrase a query to PrismFlow. Should be phrased BEFORE the outcome was known, not written with hindsight ('this failed because...') -- that would leak the answer into the input.</t>
        </is>
      </c>
    </row>
    <row r="11" ht="45" customHeight="1" s="16">
      <c r="A11" s="18" t="inlineStr">
        <is>
          <t>domain -- One of: Startup, Tech-OSS, Financial-Product. Pick whichever the idea's stated outcome will use (see next column). Aim for a rough mix across all three, not all fifty from one category -- see SOURCING below.</t>
        </is>
      </c>
    </row>
    <row r="12" ht="45" customHeight="1" s="16">
      <c r="A12" s="18" t="inlineStr">
        <is>
          <t>actual_outcome -- One of: Funded, Failed, Adopted, Rejected, Profitable, Broke-even, Loss. Funded/Failed fits Startup ideas; Adopted/Rejected fits Tech-OSS (a library, tool, or proposal that was or wasn't adopted); Profitable/Broke-even/Loss fits Financial-Product ideas.</t>
        </is>
      </c>
    </row>
    <row r="13" ht="30" customHeight="1" s="16">
      <c r="A13" s="18" t="inlineStr">
        <is>
          <t>outcome_date -- The date the outcome became publicly known or verifiable, not the date the idea was first pitched.</t>
        </is>
      </c>
    </row>
    <row r="14" ht="30" customHeight="1" s="16">
      <c r="A14" s="18" t="inlineStr">
        <is>
          <t>ground_truth_source -- A real, checkable citation: a URL, article, filing, or repo link. If you can't cite a source, the row isn't ready -- an unsourced label is not ground truth.</t>
        </is>
      </c>
    </row>
    <row r="15" ht="60" customHeight="1" s="16">
      <c r="A15" s="18" t="inlineStr">
        <is>
          <t>conflict_expected -- Your own judgment, BEFORE running the pipeline: do you expect the four angles to substantively disagree on this idea (one angle positive, another negative, not just different confidence levels)? Yes / No / Unsure. This pre-label lets Part 24 check whether the system's own conflict detector agrees with a human's independent judgment.</t>
        </is>
      </c>
    </row>
    <row r="16" ht="30" customHeight="1" s="16">
      <c r="A16" s="18" t="inlineStr">
        <is>
          <t>notes -- Anything worth flagging: ambiguous outcome, mixed signals, a source that's paywalled, etc.</t>
        </is>
      </c>
    </row>
    <row r="17" ht="15" customHeight="1" s="16">
      <c r="A17" s="18" t="n"/>
    </row>
    <row r="18" ht="15" customHeight="1" s="16">
      <c r="A18" s="19" t="inlineStr">
        <is>
          <t>WHAT COUNTS AS A 'CONFLICT' (read before labeling)</t>
        </is>
      </c>
    </row>
    <row r="19" ht="90" customHeight="1" s="16">
      <c r="A19" s="18" t="inlineStr">
        <is>
          <t>A conflict is not two angles giving different confidence numbers on the same conclusion -- that's normal and expected. A conflict is two or more angles pointing in substantively DIFFERENT DIRECTIONS: e.g. Tech says the approach is technically sound and Financial says the unit economics don't work; or Sentiment shows strong community enthusiasm while Market shows no coverage or declining interest. Write conflict_expected based on this definition, not on a general sense that 'this idea is risky.'</t>
        </is>
      </c>
    </row>
    <row r="20" ht="15" customHeight="1" s="16">
      <c r="A20" s="18" t="n"/>
    </row>
    <row r="21" ht="15" customHeight="1" s="16">
      <c r="A21" s="19" t="inlineStr">
        <is>
          <t>SOURCING REAL IDEAS -- SUGGESTED STARTING POINTS</t>
        </is>
      </c>
    </row>
    <row r="22" ht="45" customHeight="1" s="16">
      <c r="A22" s="18" t="inlineStr">
        <is>
          <t>Startup (Funded/Failed): Indian SaaS/B2B coverage from Inc42, YourStory, or Crunchbase's funding announcements + later shutdown/acquisition news. Aim for ideas where BOTH the initial pitch and the eventual outcome are publicly documented, months or years apart.</t>
        </is>
      </c>
    </row>
    <row r="23" ht="60" customHeight="1" s="16">
      <c r="A23" s="18" t="inlineStr">
        <is>
          <t>Tech-OSS (Adopted/Rejected): A language/framework proposal (e.g. a Python PEP, a Rust RFC, a well-known GitHub issue proposing a major change) with a documented accept/reject decision. Or a library that did or didn't gain real adoption after launch (measurable via GitHub stars/downloads over time, or its own README/changelog stating deprecation).</t>
        </is>
      </c>
    </row>
    <row r="24" ht="45" customHeight="1" s="16">
      <c r="A24" s="18" t="inlineStr">
        <is>
          <t>Financial-Product (Profitable/Broke-even/Loss): A product launch or business line from a public company's earnings call or annual report, where the pitch predates the reported financial outcome by at least a couple of quarters.</t>
        </is>
      </c>
    </row>
    <row r="25" ht="15" customHeight="1" s="16">
      <c r="A25" s="18" t="n"/>
    </row>
    <row r="26" ht="60" customHeight="1" s="16">
      <c r="A26" s="18" t="inlineStr">
        <is>
          <t>A GOOD ROW HAS TWO TIMESTAMPS THAT DON'T MATCH: one for when the idea was pitched/proposed, one for when the outcome became known. If you can only find the idea described AFTER its outcome was already public, the source may be describing it with hindsight bias baked in -- try to phrase idea_pitch as it would have read before anyone knew how it turned out.</t>
        </is>
      </c>
    </row>
    <row r="27" ht="15" customHeight="1" s="16">
      <c r="A27" s="18" t="n"/>
    </row>
    <row r="28" ht="15" customHeight="1" s="16">
      <c r="A28" s="19" t="inlineStr">
        <is>
          <t>PACE</t>
        </is>
      </c>
    </row>
    <row r="29" ht="45" customHeight="1" s="16">
      <c r="A29" s="18" t="inlineStr">
        <is>
          <t>This does not need to happen in one sitting. Five real, well-sourced rows is worth more than fifty rushed ones. CONTRACT.md's standard applies here too: a labeled dataset with weak or unverifiable ground truth undermines every metric computed against it later.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1" showOutlineSymbols="1" defaultGridColor="1" view="normal" topLeftCell="A1" colorId="64" zoomScale="90" zoomScaleNormal="90" zoomScalePageLayoutView="100" workbookViewId="0">
      <pane xSplit="0" ySplit="2" topLeftCell="A3" activePane="bottomLeft" state="frozen"/>
      <selection pane="topLeft" activeCell="A1" activeCellId="0" sqref="A1"/>
      <selection pane="bottomLeft" activeCell="G3" activeCellId="0" sqref="G3"/>
    </sheetView>
  </sheetViews>
  <sheetFormatPr baseColWidth="8" defaultColWidth="8.6796875" defaultRowHeight="15" customHeight="0" zeroHeight="0" outlineLevelRow="0"/>
  <cols>
    <col width="6" customWidth="1" style="15" min="1" max="1"/>
    <col width="45" customWidth="1" style="15" min="2" max="2"/>
    <col width="16" customWidth="1" style="15" min="3" max="4"/>
    <col width="14" customWidth="1" style="15" min="5" max="5"/>
    <col width="35" customWidth="1" style="15" min="6" max="6"/>
    <col width="16" customWidth="1" style="15" min="7" max="7"/>
    <col width="30" customWidth="1" style="15" min="8" max="8"/>
  </cols>
  <sheetData>
    <row r="1" ht="25.5" customHeight="1" s="16">
      <c r="A1" s="20" t="inlineStr">
        <is>
          <t>id</t>
        </is>
      </c>
      <c r="B1" s="20" t="inlineStr">
        <is>
          <t>idea_pitch</t>
        </is>
      </c>
      <c r="C1" s="20" t="inlineStr">
        <is>
          <t>domain</t>
        </is>
      </c>
      <c r="D1" s="20" t="inlineStr">
        <is>
          <t>actual_outcome</t>
        </is>
      </c>
      <c r="E1" s="20" t="inlineStr">
        <is>
          <t>outcome_date</t>
        </is>
      </c>
      <c r="F1" s="20" t="inlineStr">
        <is>
          <t>ground_truth_source</t>
        </is>
      </c>
      <c r="G1" s="20" t="inlineStr">
        <is>
          <t>conflict_expected</t>
        </is>
      </c>
      <c r="H1" s="20" t="inlineStr">
        <is>
          <t>notes</t>
        </is>
      </c>
    </row>
    <row r="2" ht="60" customHeight="1" s="16">
      <c r="A2" s="21" t="inlineStr">
        <is>
          <t>EX</t>
        </is>
      </c>
      <c r="B2" s="21" t="inlineStr">
        <is>
          <t>A browser extension that auto-generates PR descriptions from a diff, aimed at teams using GitHub -- pitched as a lightweight alternative to manually writing PR summaries.</t>
        </is>
      </c>
      <c r="C2" s="21" t="inlineStr">
        <is>
          <t>Tech-OSS</t>
        </is>
      </c>
      <c r="D2" s="21" t="inlineStr">
        <is>
          <t>Rejected</t>
        </is>
      </c>
      <c r="E2" s="21" t="inlineStr">
        <is>
          <t>2025-03-14</t>
        </is>
      </c>
      <c r="F2" s="21" t="inlineStr">
        <is>
          <t>https://github.com/&lt;real-org&gt;/&lt;real-repo&gt;/issues/&lt;real-number&gt; (EXAMPLE FORMAT ONLY -- replace with a real link)</t>
        </is>
      </c>
      <c r="G2" s="21" t="inlineStr">
        <is>
          <t>No</t>
        </is>
      </c>
      <c r="H2" s="21" t="inlineStr">
        <is>
          <t>EXAMPLE ROW -- shows format only, not real data. Delete before use or leave as reference.</t>
        </is>
      </c>
    </row>
    <row r="3" ht="30" customHeight="1" s="16">
      <c r="A3" s="22" t="inlineStr">
        <is>
          <t>002</t>
        </is>
      </c>
      <c r="B3" s="23" t="inlineStr">
        <is>
          <t>A mobile-only, short-form streaming platform delivering Hollywood-produced shows in 5-10 minute episodes built for on-the-go viewing. Backed by $1.75B in funding, exclusive studio content deals, and a Canadian telecom partnership (Bell Media) for launch-market distribution.</t>
        </is>
      </c>
      <c r="C3" s="24" t="inlineStr">
        <is>
          <t>Startup</t>
        </is>
      </c>
      <c r="D3" s="25" t="inlineStr">
        <is>
          <t>Failed</t>
        </is>
      </c>
      <c r="E3" s="23" t="inlineStr">
        <is>
          <t>2020-10-21</t>
        </is>
      </c>
      <c r="F3" s="23" t="inlineStr">
        <is>
          <t>https://www.pbs.org/newshour/arts/short-video-app-quibi-shutting-down-just-months-after-launch</t>
        </is>
      </c>
      <c r="G3" s="26" t="inlineStr">
        <is>
          <t>Yes</t>
        </is>
      </c>
      <c r="H3" s="23" t="inlineStr">
        <is>
          <t>Launched Apr 6 2020 with strong initial pickup -- 1.7M downloads in week one -- but only 72,000 of 910,000 first-3-day downloaders converted to paid after the 90-day trial (Sensor Tower, via Wikipedia). Wind-down announced Oct 21 2020; formal dissolution Dec 1 2020.</t>
        </is>
      </c>
    </row>
    <row r="4" ht="30" customHeight="1" s="16">
      <c r="A4" s="22" t="inlineStr">
        <is>
          <t>003</t>
        </is>
      </c>
      <c r="B4" s="26" t="inlineStr">
        <is>
          <t>This proposal introduces a platform condition to differentiate device and simulator builds. This condition subsumes a common pattern of conditional compilation for Metal, Keychain, and AVFoundation Camera code.</t>
        </is>
      </c>
      <c r="C4" s="26" t="inlineStr">
        <is>
          <t>Tech-OSS</t>
        </is>
      </c>
      <c r="D4" s="26" t="inlineStr">
        <is>
          <t>Adopted</t>
        </is>
      </c>
      <c r="E4" s="26" t="inlineStr">
        <is>
          <t>2017-11-28</t>
        </is>
      </c>
      <c r="F4" s="26" t="inlineStr">
        <is>
          <t>https://forums.swift.org/t/accepted-se-0190-target-environment-platform-condition/7138</t>
        </is>
      </c>
      <c r="G4" s="26" t="inlineStr">
        <is>
          <t>No</t>
        </is>
      </c>
      <c r="H4" s="26" t="inlineStr">
        <is>
          <t>Source: Swift Evolution SE-0190</t>
        </is>
      </c>
    </row>
    <row r="5" ht="30" customHeight="1" s="16">
      <c r="A5" s="22" t="inlineStr">
        <is>
          <t>004</t>
        </is>
      </c>
      <c r="B5" s="26" t="inlineStr">
        <is>
          <t>Playground literals tokenize colors, files, and images. They provide drag-and-drop convenience and in-context visualizations that offer easy reference and manipulation when designing playground content. These literals are built using a simple square bracket syntax that, in the current form, conflicts with collection literals. This proposal redesigns playground literals to follow the precedent of #available and #selector.</t>
        </is>
      </c>
      <c r="C5" s="26" t="inlineStr">
        <is>
          <t>Tech-OSS</t>
        </is>
      </c>
      <c r="D5" s="26" t="inlineStr">
        <is>
          <t>Adopted</t>
        </is>
      </c>
      <c r="E5" s="26" t="inlineStr">
        <is>
          <t>2016-03-10</t>
        </is>
      </c>
      <c r="F5" s="26" t="inlineStr">
        <is>
          <t>https://forums.swift.org/t/accepted-se-0039-modernizing-playground-literals/1746</t>
        </is>
      </c>
      <c r="G5" s="26" t="inlineStr">
        <is>
          <t>No</t>
        </is>
      </c>
      <c r="H5" s="26" t="inlineStr">
        <is>
          <t>Source: Swift Evolution SE-0039</t>
        </is>
      </c>
    </row>
    <row r="6" ht="30" customHeight="1" s="16">
      <c r="A6" s="22" t="inlineStr">
        <is>
          <t>005</t>
        </is>
      </c>
      <c r="B6" s="26" t="inlineStr">
        <is>
          <t>Starting in Sierra, Apple's Mac-based OS (OS X) will be renamed "macOS". All user-facing Swift APIs must go through Swift Evolution. While this is a trivial API change, I have put together a formal proposal as is normal and usual for this process.</t>
        </is>
      </c>
      <c r="C6" s="26" t="inlineStr">
        <is>
          <t>Tech-OSS</t>
        </is>
      </c>
      <c r="D6" s="26" t="inlineStr">
        <is>
          <t>Adopted</t>
        </is>
      </c>
      <c r="E6" s="26" t="inlineStr">
        <is>
          <t>2016-06-29</t>
        </is>
      </c>
      <c r="F6" s="26" t="inlineStr">
        <is>
          <t>https://forums.swift.org/t/accepted-se-0106-add-a-macos-alias-for-the-osx-platform-configuration-test/3176</t>
        </is>
      </c>
      <c r="G6" s="26" t="inlineStr">
        <is>
          <t>No</t>
        </is>
      </c>
      <c r="H6" s="26" t="inlineStr">
        <is>
          <t>Source: Swift Evolution SE-0106</t>
        </is>
      </c>
    </row>
    <row r="7" ht="30" customHeight="1" s="16">
      <c r="A7" s="22" t="inlineStr">
        <is>
          <t>006</t>
        </is>
      </c>
      <c r="B7" s="26" t="inlineStr">
        <is>
          <t>This proposal enhances the `Package.swift` manifest APIs to support custom target layouts, and removes a convention which allowed omission of targets from the manifest.</t>
        </is>
      </c>
      <c r="C7" s="26" t="inlineStr">
        <is>
          <t>Tech-OSS</t>
        </is>
      </c>
      <c r="D7" s="26" t="inlineStr">
        <is>
          <t>Adopted</t>
        </is>
      </c>
      <c r="E7" s="26" t="inlineStr">
        <is>
          <t>2017-04-11</t>
        </is>
      </c>
      <c r="F7" s="26" t="inlineStr">
        <is>
          <t>https://forums.swift.org/t/accepted-se-0162-package-manager-custom-target-layouts/5647</t>
        </is>
      </c>
      <c r="G7" s="26" t="inlineStr">
        <is>
          <t>No</t>
        </is>
      </c>
      <c r="H7" s="26" t="inlineStr">
        <is>
          <t>Source: Swift Evolution SE-0162</t>
        </is>
      </c>
    </row>
    <row r="8" ht="30" customHeight="1" s="16">
      <c r="A8" s="22" t="inlineStr">
        <is>
          <t>007</t>
        </is>
      </c>
      <c r="B8" s="26" t="inlineStr">
        <is>
          <t>The current version of Swift (2.1) requires using `self` when accessing instance members in closures. The proposal suggests extending this to all member accesses (as is intrinsically the case in Objective-C). It has the benefit of documenting instance properties vs local variables and instance functions vs local functions or closures.</t>
        </is>
      </c>
      <c r="C8" s="26" t="inlineStr">
        <is>
          <t>Tech-OSS</t>
        </is>
      </c>
      <c r="D8" s="26" t="inlineStr">
        <is>
          <t>Rejected</t>
        </is>
      </c>
      <c r="E8" s="26" t="inlineStr">
        <is>
          <t>2016-01-06</t>
        </is>
      </c>
      <c r="F8" s="26" t="inlineStr">
        <is>
          <t>https://forums.swift.org/t/rejected-se-0009-require-self-for-accessing-instance-members/930</t>
        </is>
      </c>
      <c r="G8" s="26" t="inlineStr">
        <is>
          <t>Unsure</t>
        </is>
      </c>
      <c r="H8" s="26" t="inlineStr">
        <is>
          <t>Source: Swift Evolution SE-0009</t>
        </is>
      </c>
    </row>
    <row r="9" ht="30" customHeight="1" s="16">
      <c r="A9" s="22" t="inlineStr">
        <is>
          <t>008</t>
        </is>
      </c>
      <c r="B9" s="26" t="inlineStr">
        <is>
          <t>This proposal removes `where` clauses from `for-in` loops, where they are better expressed (and read) as guard conditions.</t>
        </is>
      </c>
      <c r="C9" s="26" t="inlineStr">
        <is>
          <t>Tech-OSS</t>
        </is>
      </c>
      <c r="D9" s="26" t="inlineStr">
        <is>
          <t>Rejected</t>
        </is>
      </c>
      <c r="E9" s="26" t="inlineStr">
        <is>
          <t>2016-06-30</t>
        </is>
      </c>
      <c r="F9" s="26" t="inlineStr">
        <is>
          <t>https://forums.swift.org/t/rejected-se-0105-removing-where-clauses-from-for-in-loops/3205</t>
        </is>
      </c>
      <c r="G9" s="26" t="inlineStr">
        <is>
          <t>No</t>
        </is>
      </c>
      <c r="H9" s="26" t="inlineStr">
        <is>
          <t>Source: Swift Evolution SE-0105</t>
        </is>
      </c>
    </row>
    <row r="10" ht="30" customHeight="1" s="16">
      <c r="A10" s="22" t="inlineStr">
        <is>
          <t>009</t>
        </is>
      </c>
      <c r="B10" s="26" t="inlineStr">
        <is>
          <t>Introduce a new operator an "Optional Value Setter". If the optional is set via this operator then the new value is only set if there isn't an already existing value.</t>
        </is>
      </c>
      <c r="C10" s="26" t="inlineStr">
        <is>
          <t>Tech-OSS</t>
        </is>
      </c>
      <c r="D10" s="26" t="inlineStr">
        <is>
          <t>Rejected</t>
        </is>
      </c>
      <c r="E10" s="26" t="inlineStr">
        <is>
          <t>2016-02-23</t>
        </is>
      </c>
      <c r="F10" s="26" t="inlineStr">
        <is>
          <t>https://forums.swift.org/t/rejected-se-0024-optional-value-setter/1528</t>
        </is>
      </c>
      <c r="G10" s="26" t="inlineStr">
        <is>
          <t>No</t>
        </is>
      </c>
      <c r="H10" s="26" t="inlineStr">
        <is>
          <t>Source: Swift Evolution SE-0024</t>
        </is>
      </c>
    </row>
    <row r="11" ht="30" customHeight="1" s="16">
      <c r="A11" s="22" t="inlineStr">
        <is>
          <t>010</t>
        </is>
      </c>
      <c r="B11" s="26" t="inlineStr">
        <is>
          <t>Swift permits trailing commas after the last element in array or dictionary literal. This proposal extends that to parameters and tuples.</t>
        </is>
      </c>
      <c r="C11" s="26" t="inlineStr">
        <is>
          <t>Tech-OSS</t>
        </is>
      </c>
      <c r="D11" s="26" t="inlineStr">
        <is>
          <t>Rejected</t>
        </is>
      </c>
      <c r="E11" s="26" t="inlineStr">
        <is>
          <t>2016-05-26</t>
        </is>
      </c>
      <c r="F11" s="26" t="inlineStr">
        <is>
          <t>https://forums.swift.org/t/rejected-se-0084-allow-trailing-commas-in-parameter-lists-and-tuples/2777</t>
        </is>
      </c>
      <c r="G11" s="26" t="inlineStr">
        <is>
          <t>Yes</t>
        </is>
      </c>
      <c r="H11" s="26" t="inlineStr">
        <is>
          <t>Source: Swift Evolution SE-0084</t>
        </is>
      </c>
    </row>
    <row r="12" ht="30" customHeight="1" s="16">
      <c r="A12" s="22" t="inlineStr">
        <is>
          <t>011</t>
        </is>
      </c>
      <c r="B12" s="26" t="inlineStr">
        <is>
          <t>This PEP describes changes to the PyPI infrastructure that are needed to ensure that users get valid packages from PyPI. These changes should have minimal impact on other parts of the ecosystem. The PEP focuses on communication between PyPI and users, and so does not require any action by package developers. Developers will upload packages using the current process, and PyPI will automatically generate signed repository metadata for these packages. In order for the security mechanism to be effective, additional work will need to be done by PyPI consumers (like pip) to verify the signatures and metadata provided by PyPI. This verification can be transparent to users (unless it fails) and provides an automatic security mechanism. There is documentation for how to consume TUF metadata in the TUF repository.</t>
        </is>
      </c>
      <c r="C12" s="26" t="inlineStr">
        <is>
          <t>Tech-OSS</t>
        </is>
      </c>
      <c r="D12" s="26" t="inlineStr">
        <is>
          <t>Adopted</t>
        </is>
      </c>
      <c r="E12" s="26" t="inlineStr">
        <is>
          <t>2020-02-15</t>
        </is>
      </c>
      <c r="F12" s="26" t="inlineStr">
        <is>
          <t>https://discuss.python.org/t/pep-458-secure-pypi-downloads-with-package-signing/2648/115</t>
        </is>
      </c>
      <c r="G12" s="26" t="inlineStr">
        <is>
          <t>No</t>
        </is>
      </c>
      <c r="H12" s="26" t="inlineStr">
        <is>
          <t>Source: Python PEP 458 | abstract trimmed at a sentence boundary</t>
        </is>
      </c>
    </row>
    <row r="13" ht="30" customHeight="1" s="16">
      <c r="A13" s="22" t="inlineStr">
        <is>
          <t>012</t>
        </is>
      </c>
      <c r="B13" s="26" t="inlineStr">
        <is>
          <t>This document proposes language extensions that allow programs to raise and handle multiple unrelated exceptions simultaneously: * A new standard exception type, the ExceptionGroup, which represents a group of unrelated exceptions being propagated together. * A new syntax except* for handling ExceptionGroups.</t>
        </is>
      </c>
      <c r="C13" s="26" t="inlineStr">
        <is>
          <t>Tech-OSS</t>
        </is>
      </c>
      <c r="D13" s="26" t="inlineStr">
        <is>
          <t>Adopted</t>
        </is>
      </c>
      <c r="E13" s="26" t="inlineStr">
        <is>
          <t>2021-09-24</t>
        </is>
      </c>
      <c r="F13" s="26" t="inlineStr">
        <is>
          <t>https://discuss.python.org/t/accepting-pep-654-exception-groups-and-except/10813/1</t>
        </is>
      </c>
      <c r="G13" s="26" t="inlineStr">
        <is>
          <t>Unsure</t>
        </is>
      </c>
      <c r="H13" s="26" t="inlineStr">
        <is>
          <t>Source: Python PEP 654</t>
        </is>
      </c>
    </row>
    <row r="14" ht="30" customHeight="1" s="16">
      <c r="A14" s="22" t="inlineStr">
        <is>
          <t>013</t>
        </is>
      </c>
      <c r="B14" s="26" t="inlineStr">
        <is>
          <t>Type expressions provide a standardized way to specify types in the Python type system. When a type expression is evaluated at runtime, the resulting *type form object* encodes the information supplied in the type expression. This enables a variety of use cases including runtime type checking, introspection, and metaprogramming. Such use cases have proliferated, but there is currently no way to accurately annotate functions that accept type form objects. Developers are forced to use an overly-wide type like object, which makes some use cases impossible and generally reduces type safety. This PEP addresses this limitation by introducing a new special form typing.TypeForm. This PEP makes no changes to the Python grammar. Correct usage of TypeForm is intended to be enforced only by type checkers, not by the Python runtime.</t>
        </is>
      </c>
      <c r="C14" s="26" t="inlineStr">
        <is>
          <t>Tech-OSS</t>
        </is>
      </c>
      <c r="D14" s="26" t="inlineStr">
        <is>
          <t>Adopted</t>
        </is>
      </c>
      <c r="E14" s="26" t="inlineStr">
        <is>
          <t>2026-02-20</t>
        </is>
      </c>
      <c r="F14" s="26" t="inlineStr">
        <is>
          <t>https://discuss.python.org/t/pep-747-typeexpr-type-hint-for-a-type-expression/55984/103</t>
        </is>
      </c>
      <c r="G14" s="26" t="inlineStr">
        <is>
          <t>Unsure</t>
        </is>
      </c>
      <c r="H14" s="26" t="inlineStr">
        <is>
          <t>Source: Python PEP 747</t>
        </is>
      </c>
    </row>
    <row r="15" ht="30" customHeight="1" s="16">
      <c r="A15" s="22" t="inlineStr">
        <is>
          <t>014</t>
        </is>
      </c>
      <c r="B15" s="26" t="inlineStr">
        <is>
          <t>This PEP proposes the creation of a new standard library module named !profiling to organize Python's built-in profiling tools under a single, coherent namespace. This PEP also proposes the deprecation of the profile module, a legacy pure-Python tracing profiler.</t>
        </is>
      </c>
      <c r="C15" s="26" t="inlineStr">
        <is>
          <t>Tech-OSS</t>
        </is>
      </c>
      <c r="D15" s="26" t="inlineStr">
        <is>
          <t>Adopted</t>
        </is>
      </c>
      <c r="E15" s="26" t="inlineStr">
        <is>
          <t>2025-08-21</t>
        </is>
      </c>
      <c r="F15" s="26" t="inlineStr">
        <is>
          <t>https://discuss.python.org/t/pep-799-a-dedicated-profilers-package-for-organizing-python-profiling-tool/100898/21</t>
        </is>
      </c>
      <c r="G15" s="26" t="inlineStr">
        <is>
          <t>No</t>
        </is>
      </c>
      <c r="H15" s="26" t="inlineStr">
        <is>
          <t>Source: Python PEP 799</t>
        </is>
      </c>
    </row>
    <row r="16" ht="30" customHeight="1" s="16">
      <c r="A16" s="22" t="inlineStr">
        <is>
          <t>015</t>
        </is>
      </c>
      <c r="B16" s="26" t="inlineStr">
        <is>
          <t>This PEP proposes extending the existing mechanism for setting up sys.path to include a new pypackages directory, in addition to the existing locations. The new directory will be added at the start of sys.path, after the current working directory and just before the system site-packages, to give packages installed there priority over other locations. This is similar to the existing mechanism of adding the current directory (or the directory the script is located in), but by using a subdirectory, additional libraries are kept separate from the user's work.</t>
        </is>
      </c>
      <c r="C16" s="26" t="inlineStr">
        <is>
          <t>Tech-OSS</t>
        </is>
      </c>
      <c r="D16" s="26" t="inlineStr">
        <is>
          <t>Rejected</t>
        </is>
      </c>
      <c r="E16" s="26" t="inlineStr">
        <is>
          <t>2023-03-28</t>
        </is>
      </c>
      <c r="F16" s="26" t="inlineStr">
        <is>
          <t>https://discuss.python.org/t/pep-582-python-local-packages-directory/963/430</t>
        </is>
      </c>
      <c r="G16" s="26" t="inlineStr">
        <is>
          <t>Yes</t>
        </is>
      </c>
      <c r="H16" s="26" t="inlineStr">
        <is>
          <t>Source: Python PEP 582</t>
        </is>
      </c>
    </row>
    <row r="17" ht="30" customHeight="1" s="16">
      <c r="A17" s="22" t="inlineStr">
        <is>
          <t>016</t>
        </is>
      </c>
      <c r="B17" s="26" t="inlineStr">
        <is>
          <t>Python allows the with and async with statements to handle multiple context managers in a single statement, so long as they are all respectively synchronous or asynchronous. When mixing synchronous and asynchronous context managers, developers must use deeply nested statements or use risky workarounds such as overuse of contextlib.AsyncExitStack. We therefore propose to allow with statements to accept both synchronous and asynchronous context managers in a single statement by prefixing individual async context managers with the async keyword. This change eliminates unnecessary nesting, improves code readability, and improves ergonomics without making async code any less explicit.</t>
        </is>
      </c>
      <c r="C17" s="26" t="inlineStr">
        <is>
          <t>Tech-OSS</t>
        </is>
      </c>
      <c r="D17" s="26" t="inlineStr">
        <is>
          <t>Rejected</t>
        </is>
      </c>
      <c r="E17" s="26" t="inlineStr">
        <is>
          <t>2026-04-23</t>
        </is>
      </c>
      <c r="F17" s="26" t="inlineStr">
        <is>
          <t>https://discuss.python.org/t/pep-806-mixed-sync-async-context-managers-with-precise-async-marking/103971/12</t>
        </is>
      </c>
      <c r="G17" s="26" t="inlineStr">
        <is>
          <t>Yes</t>
        </is>
      </c>
      <c r="H17" s="26" t="inlineStr">
        <is>
          <t>Source: Python PEP 806</t>
        </is>
      </c>
    </row>
    <row r="18" ht="30" customHeight="1" s="16">
      <c r="A18" s="22" t="inlineStr">
        <is>
          <t>017</t>
        </is>
      </c>
      <c r="B18" s="26" t="inlineStr">
        <is>
          <t>This PEP proposes allowing parentheses in the two-argument form of assert. The interpreter will reinterpret assert (expr, msg) as assert expr, msg, eliminating the common pitfall where such code was previously treated as asserting a two-element tuple, which is always truthy.</t>
        </is>
      </c>
      <c r="C18" s="26" t="inlineStr">
        <is>
          <t>Tech-OSS</t>
        </is>
      </c>
      <c r="D18" s="26" t="inlineStr">
        <is>
          <t>Rejected</t>
        </is>
      </c>
      <c r="E18" s="26" t="inlineStr">
        <is>
          <t>2025-10-24</t>
        </is>
      </c>
      <c r="F18" s="26" t="inlineStr">
        <is>
          <t>https://discuss.python.org/t/pep-679-new-assert-statement-syntax-with-parentheses/103634/24</t>
        </is>
      </c>
      <c r="G18" s="26" t="inlineStr">
        <is>
          <t>Yes</t>
        </is>
      </c>
      <c r="H18" s="26" t="inlineStr">
        <is>
          <t>Source: Python PEP 679</t>
        </is>
      </c>
    </row>
    <row r="19" ht="30" customHeight="1" s="16">
      <c r="A19" s="22" t="inlineStr">
        <is>
          <t>018</t>
        </is>
      </c>
      <c r="B19" s="26" t="inlineStr">
        <is>
          <t>This PEP proposes to forbid return, break and continue statements within a finally suite where they would break out of the finally. Their use in such a location silently cancels any active exception being raised through the finally, leading to unclear code and possible bugs. continue is currently not supported in a finally in Python 3.7 (due to implementation issues) and the proposal is to not add support for it in Python 3.8. For return and break the proposal is to deprecate their use in Python 3.9, emit a compilation warning in Python 3.10 and then forbid their use after that.</t>
        </is>
      </c>
      <c r="C19" s="26" t="inlineStr">
        <is>
          <t>Tech-OSS</t>
        </is>
      </c>
      <c r="D19" s="26" t="inlineStr">
        <is>
          <t>Rejected</t>
        </is>
      </c>
      <c r="E19" s="26" t="inlineStr">
        <is>
          <t>2019-09-17</t>
        </is>
      </c>
      <c r="F19" s="26" t="inlineStr">
        <is>
          <t>https://discuss.python.org/t/pep-601-forbid-return-break-continue-breaking-out-of-finally/2239/32</t>
        </is>
      </c>
      <c r="G19" s="26" t="inlineStr">
        <is>
          <t>No</t>
        </is>
      </c>
      <c r="H19" s="26" t="inlineStr">
        <is>
          <t>Source: Python PEP 601</t>
        </is>
      </c>
    </row>
    <row r="20" ht="30" customHeight="1" s="16">
      <c r="A20" s="22" t="inlineStr">
        <is>
          <t>019</t>
        </is>
      </c>
      <c r="B20" s="26" t="n"/>
      <c r="C20" s="26" t="n"/>
      <c r="D20" s="26" t="n"/>
      <c r="E20" s="26" t="n"/>
      <c r="F20" s="26" t="n"/>
      <c r="G20" s="26" t="n"/>
      <c r="H20" s="26" t="n"/>
    </row>
    <row r="21" ht="30" customHeight="1" s="16">
      <c r="A21" s="22" t="inlineStr">
        <is>
          <t>020</t>
        </is>
      </c>
      <c r="B21" s="26" t="n"/>
      <c r="C21" s="26" t="n"/>
      <c r="D21" s="26" t="n"/>
      <c r="E21" s="26" t="n"/>
      <c r="F21" s="26" t="n"/>
      <c r="G21" s="26" t="n"/>
      <c r="H21" s="26" t="n"/>
    </row>
    <row r="22" ht="30" customHeight="1" s="16">
      <c r="A22" s="22" t="inlineStr">
        <is>
          <t>021</t>
        </is>
      </c>
      <c r="B22" s="26" t="n"/>
      <c r="C22" s="26" t="n"/>
      <c r="D22" s="26" t="n"/>
      <c r="E22" s="26" t="n"/>
      <c r="F22" s="26" t="n"/>
      <c r="G22" s="26" t="n"/>
      <c r="H22" s="26" t="n"/>
    </row>
    <row r="23" ht="30" customHeight="1" s="16">
      <c r="A23" s="22" t="inlineStr">
        <is>
          <t>022</t>
        </is>
      </c>
      <c r="B23" s="26" t="n"/>
      <c r="C23" s="26" t="n"/>
      <c r="D23" s="26" t="n"/>
      <c r="E23" s="26" t="n"/>
      <c r="F23" s="26" t="n"/>
      <c r="G23" s="26" t="n"/>
      <c r="H23" s="26" t="n"/>
    </row>
    <row r="24" ht="30" customHeight="1" s="16">
      <c r="A24" s="22" t="inlineStr">
        <is>
          <t>023</t>
        </is>
      </c>
      <c r="B24" s="26" t="n"/>
      <c r="C24" s="26" t="n"/>
      <c r="D24" s="26" t="n"/>
      <c r="E24" s="26" t="n"/>
      <c r="F24" s="26" t="n"/>
      <c r="G24" s="26" t="n"/>
      <c r="H24" s="26" t="n"/>
    </row>
    <row r="25" ht="30" customHeight="1" s="16">
      <c r="A25" s="22" t="inlineStr">
        <is>
          <t>024</t>
        </is>
      </c>
      <c r="B25" s="26" t="n"/>
      <c r="C25" s="26" t="n"/>
      <c r="D25" s="26" t="n"/>
      <c r="E25" s="26" t="n"/>
      <c r="F25" s="26" t="n"/>
      <c r="G25" s="26" t="n"/>
      <c r="H25" s="26" t="n"/>
    </row>
    <row r="26" ht="30" customHeight="1" s="16">
      <c r="A26" s="22" t="inlineStr">
        <is>
          <t>025</t>
        </is>
      </c>
      <c r="B26" s="26" t="n"/>
      <c r="C26" s="26" t="n"/>
      <c r="D26" s="26" t="n"/>
      <c r="E26" s="26" t="n"/>
      <c r="F26" s="26" t="n"/>
      <c r="G26" s="26" t="n"/>
      <c r="H26" s="26" t="n"/>
    </row>
    <row r="27" ht="30" customHeight="1" s="16">
      <c r="A27" s="22" t="inlineStr">
        <is>
          <t>026</t>
        </is>
      </c>
      <c r="B27" s="26" t="n"/>
      <c r="C27" s="26" t="n"/>
      <c r="D27" s="26" t="n"/>
      <c r="E27" s="26" t="n"/>
      <c r="F27" s="26" t="n"/>
      <c r="G27" s="26" t="n"/>
      <c r="H27" s="26" t="n"/>
    </row>
    <row r="28" ht="30" customHeight="1" s="16">
      <c r="A28" s="22" t="inlineStr">
        <is>
          <t>027</t>
        </is>
      </c>
      <c r="B28" s="26" t="n"/>
      <c r="C28" s="26" t="n"/>
      <c r="D28" s="26" t="n"/>
      <c r="E28" s="26" t="n"/>
      <c r="F28" s="26" t="n"/>
      <c r="G28" s="26" t="n"/>
      <c r="H28" s="26" t="n"/>
    </row>
    <row r="29" ht="30" customHeight="1" s="16">
      <c r="A29" s="22" t="inlineStr">
        <is>
          <t>028</t>
        </is>
      </c>
      <c r="B29" s="26" t="n"/>
      <c r="C29" s="26" t="n"/>
      <c r="D29" s="26" t="n"/>
      <c r="E29" s="26" t="n"/>
      <c r="F29" s="26" t="n"/>
      <c r="G29" s="26" t="n"/>
      <c r="H29" s="26" t="n"/>
    </row>
    <row r="30" ht="30" customHeight="1" s="16">
      <c r="A30" s="22" t="inlineStr">
        <is>
          <t>029</t>
        </is>
      </c>
      <c r="B30" s="26" t="n"/>
      <c r="C30" s="26" t="n"/>
      <c r="D30" s="26" t="n"/>
      <c r="E30" s="26" t="n"/>
      <c r="F30" s="26" t="n"/>
      <c r="G30" s="26" t="n"/>
      <c r="H30" s="26" t="n"/>
    </row>
    <row r="31" ht="30" customHeight="1" s="16">
      <c r="A31" s="22" t="inlineStr">
        <is>
          <t>030</t>
        </is>
      </c>
      <c r="B31" s="26" t="n"/>
      <c r="C31" s="26" t="n"/>
      <c r="D31" s="26" t="n"/>
      <c r="E31" s="26" t="n"/>
      <c r="F31" s="26" t="n"/>
      <c r="G31" s="26" t="n"/>
      <c r="H31" s="26" t="n"/>
    </row>
    <row r="32" ht="30" customHeight="1" s="16">
      <c r="A32" s="22" t="inlineStr">
        <is>
          <t>031</t>
        </is>
      </c>
      <c r="B32" s="26" t="n"/>
      <c r="C32" s="26" t="n"/>
      <c r="D32" s="26" t="n"/>
      <c r="E32" s="26" t="n"/>
      <c r="F32" s="26" t="n"/>
      <c r="G32" s="26" t="n"/>
      <c r="H32" s="26" t="n"/>
    </row>
    <row r="33" ht="30" customHeight="1" s="16">
      <c r="A33" s="22" t="inlineStr">
        <is>
          <t>032</t>
        </is>
      </c>
      <c r="B33" s="26" t="n"/>
      <c r="C33" s="26" t="n"/>
      <c r="D33" s="26" t="n"/>
      <c r="E33" s="26" t="n"/>
      <c r="F33" s="26" t="n"/>
      <c r="G33" s="26" t="n"/>
      <c r="H33" s="26" t="n"/>
    </row>
    <row r="34" ht="30" customHeight="1" s="16">
      <c r="A34" s="22" t="inlineStr">
        <is>
          <t>033</t>
        </is>
      </c>
      <c r="B34" s="26" t="n"/>
      <c r="C34" s="26" t="n"/>
      <c r="D34" s="26" t="n"/>
      <c r="E34" s="26" t="n"/>
      <c r="F34" s="26" t="n"/>
      <c r="G34" s="26" t="n"/>
      <c r="H34" s="26" t="n"/>
    </row>
    <row r="35" ht="30" customHeight="1" s="16">
      <c r="A35" s="22" t="inlineStr">
        <is>
          <t>034</t>
        </is>
      </c>
      <c r="B35" s="26" t="n"/>
      <c r="C35" s="26" t="n"/>
      <c r="D35" s="26" t="n"/>
      <c r="E35" s="26" t="n"/>
      <c r="F35" s="26" t="n"/>
      <c r="G35" s="26" t="n"/>
      <c r="H35" s="26" t="n"/>
    </row>
    <row r="36" ht="30" customHeight="1" s="16">
      <c r="A36" s="22" t="inlineStr">
        <is>
          <t>035</t>
        </is>
      </c>
      <c r="B36" s="26" t="n"/>
      <c r="C36" s="26" t="n"/>
      <c r="D36" s="26" t="n"/>
      <c r="E36" s="26" t="n"/>
      <c r="F36" s="26" t="n"/>
      <c r="G36" s="26" t="n"/>
      <c r="H36" s="26" t="n"/>
    </row>
    <row r="37" ht="30" customHeight="1" s="16">
      <c r="A37" s="22" t="inlineStr">
        <is>
          <t>036</t>
        </is>
      </c>
      <c r="B37" s="26" t="n"/>
      <c r="C37" s="26" t="n"/>
      <c r="D37" s="26" t="n"/>
      <c r="E37" s="26" t="n"/>
      <c r="F37" s="26" t="n"/>
      <c r="G37" s="26" t="n"/>
      <c r="H37" s="26" t="n"/>
    </row>
    <row r="38" ht="30" customHeight="1" s="16">
      <c r="A38" s="22" t="inlineStr">
        <is>
          <t>037</t>
        </is>
      </c>
      <c r="B38" s="26" t="n"/>
      <c r="C38" s="26" t="n"/>
      <c r="D38" s="26" t="n"/>
      <c r="E38" s="26" t="n"/>
      <c r="F38" s="26" t="n"/>
      <c r="G38" s="26" t="n"/>
      <c r="H38" s="26" t="n"/>
    </row>
    <row r="39" ht="30" customHeight="1" s="16">
      <c r="A39" s="22" t="inlineStr">
        <is>
          <t>038</t>
        </is>
      </c>
      <c r="B39" s="26" t="n"/>
      <c r="C39" s="26" t="n"/>
      <c r="D39" s="26" t="n"/>
      <c r="E39" s="26" t="n"/>
      <c r="F39" s="26" t="n"/>
      <c r="G39" s="26" t="n"/>
      <c r="H39" s="26" t="n"/>
    </row>
    <row r="40" ht="30" customHeight="1" s="16">
      <c r="A40" s="22" t="inlineStr">
        <is>
          <t>039</t>
        </is>
      </c>
      <c r="B40" s="26" t="n"/>
      <c r="C40" s="26" t="n"/>
      <c r="D40" s="26" t="n"/>
      <c r="E40" s="26" t="n"/>
      <c r="F40" s="26" t="n"/>
      <c r="G40" s="26" t="n"/>
      <c r="H40" s="26" t="n"/>
    </row>
    <row r="41" ht="30" customHeight="1" s="16">
      <c r="A41" s="22" t="inlineStr">
        <is>
          <t>040</t>
        </is>
      </c>
      <c r="B41" s="26" t="n"/>
      <c r="C41" s="26" t="n"/>
      <c r="D41" s="26" t="n"/>
      <c r="E41" s="26" t="n"/>
      <c r="F41" s="26" t="n"/>
      <c r="G41" s="26" t="n"/>
      <c r="H41" s="26" t="n"/>
    </row>
    <row r="42" ht="30" customHeight="1" s="16">
      <c r="A42" s="22" t="inlineStr">
        <is>
          <t>041</t>
        </is>
      </c>
      <c r="B42" s="26" t="n"/>
      <c r="C42" s="26" t="n"/>
      <c r="D42" s="26" t="n"/>
      <c r="E42" s="26" t="n"/>
      <c r="F42" s="26" t="n"/>
      <c r="G42" s="26" t="n"/>
      <c r="H42" s="26" t="n"/>
    </row>
    <row r="43" ht="30" customHeight="1" s="16">
      <c r="A43" s="22" t="inlineStr">
        <is>
          <t>042</t>
        </is>
      </c>
      <c r="B43" s="26" t="n"/>
      <c r="C43" s="26" t="n"/>
      <c r="D43" s="26" t="n"/>
      <c r="E43" s="26" t="n"/>
      <c r="F43" s="26" t="n"/>
      <c r="G43" s="26" t="n"/>
      <c r="H43" s="26" t="n"/>
    </row>
    <row r="44" ht="30" customHeight="1" s="16">
      <c r="A44" s="22" t="inlineStr">
        <is>
          <t>043</t>
        </is>
      </c>
      <c r="B44" s="26" t="n"/>
      <c r="C44" s="26" t="n"/>
      <c r="D44" s="26" t="n"/>
      <c r="E44" s="26" t="n"/>
      <c r="F44" s="26" t="n"/>
      <c r="G44" s="26" t="n"/>
      <c r="H44" s="26" t="n"/>
    </row>
    <row r="45" ht="30" customHeight="1" s="16">
      <c r="A45" s="22" t="inlineStr">
        <is>
          <t>044</t>
        </is>
      </c>
      <c r="B45" s="26" t="n"/>
      <c r="C45" s="26" t="n"/>
      <c r="D45" s="26" t="n"/>
      <c r="E45" s="26" t="n"/>
      <c r="F45" s="26" t="n"/>
      <c r="G45" s="26" t="n"/>
      <c r="H45" s="26" t="n"/>
    </row>
    <row r="46" ht="30" customHeight="1" s="16">
      <c r="A46" s="22" t="inlineStr">
        <is>
          <t>045</t>
        </is>
      </c>
      <c r="B46" s="26" t="n"/>
      <c r="C46" s="26" t="n"/>
      <c r="D46" s="26" t="n"/>
      <c r="E46" s="26" t="n"/>
      <c r="F46" s="26" t="n"/>
      <c r="G46" s="26" t="n"/>
      <c r="H46" s="26" t="n"/>
    </row>
    <row r="47" ht="30" customHeight="1" s="16">
      <c r="A47" s="22" t="inlineStr">
        <is>
          <t>046</t>
        </is>
      </c>
      <c r="B47" s="26" t="n"/>
      <c r="C47" s="26" t="n"/>
      <c r="D47" s="26" t="n"/>
      <c r="E47" s="26" t="n"/>
      <c r="F47" s="26" t="n"/>
      <c r="G47" s="26" t="n"/>
      <c r="H47" s="26" t="n"/>
    </row>
    <row r="48" ht="30" customHeight="1" s="16">
      <c r="A48" s="22" t="inlineStr">
        <is>
          <t>047</t>
        </is>
      </c>
      <c r="B48" s="26" t="n"/>
      <c r="C48" s="26" t="n"/>
      <c r="D48" s="26" t="n"/>
      <c r="E48" s="26" t="n"/>
      <c r="F48" s="26" t="n"/>
      <c r="G48" s="26" t="n"/>
      <c r="H48" s="26" t="n"/>
    </row>
    <row r="49" ht="30" customHeight="1" s="16">
      <c r="A49" s="22" t="inlineStr">
        <is>
          <t>048</t>
        </is>
      </c>
      <c r="B49" s="26" t="n"/>
      <c r="C49" s="26" t="n"/>
      <c r="D49" s="26" t="n"/>
      <c r="E49" s="26" t="n"/>
      <c r="F49" s="26" t="n"/>
      <c r="G49" s="26" t="n"/>
      <c r="H49" s="26" t="n"/>
    </row>
    <row r="50" ht="30" customHeight="1" s="16">
      <c r="A50" s="22" t="inlineStr">
        <is>
          <t>049</t>
        </is>
      </c>
      <c r="B50" s="26" t="n"/>
      <c r="C50" s="26" t="n"/>
      <c r="D50" s="26" t="n"/>
      <c r="E50" s="26" t="n"/>
      <c r="F50" s="26" t="n"/>
      <c r="G50" s="26" t="n"/>
      <c r="H50" s="26" t="n"/>
    </row>
    <row r="51" ht="30" customHeight="1" s="16">
      <c r="A51" s="22" t="inlineStr">
        <is>
          <t>050</t>
        </is>
      </c>
      <c r="B51" s="26" t="n"/>
      <c r="C51" s="26" t="n"/>
      <c r="D51" s="26" t="n"/>
      <c r="E51" s="26" t="n"/>
      <c r="F51" s="26" t="n"/>
      <c r="G51" s="26" t="n"/>
      <c r="H51" s="26" t="n"/>
    </row>
  </sheetData>
  <dataValidations count="3">
    <dataValidation sqref="C4:C51" showDropDown="0" showInputMessage="0" showErrorMessage="0" allowBlank="1" type="list" errorStyle="stop" operator="between">
      <formula1>"Startup,Tech-OSS,Financial-Product"</formula1>
      <formula2>0</formula2>
    </dataValidation>
    <dataValidation sqref="D4:D51" showDropDown="0" showInputMessage="0" showErrorMessage="0" allowBlank="1" type="list" errorStyle="stop" operator="between">
      <formula1>"Funded,Failed,Adopted,Rejected,Profitable,Broke-even,Loss"</formula1>
      <formula2>0</formula2>
    </dataValidation>
    <dataValidation sqref="G3:G51" showDropDown="0" showInputMessage="0" showErrorMessage="0" allowBlank="1" type="list" errorStyle="stop" operator="between">
      <formula1>"Yes,No,Unsure"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A5" activeCellId="0" sqref="A5"/>
    </sheetView>
  </sheetViews>
  <sheetFormatPr baseColWidth="8" defaultColWidth="8.6796875" defaultRowHeight="15" customHeight="0" zeroHeight="0" outlineLevelRow="0"/>
  <cols>
    <col width="40" customWidth="1" style="15" min="1" max="1"/>
    <col width="14" customWidth="1" style="15" min="2" max="4"/>
  </cols>
  <sheetData>
    <row r="1" ht="15" customHeight="1" s="16">
      <c r="A1" s="27" t="inlineStr">
        <is>
          <t>Rows completed</t>
        </is>
      </c>
      <c r="B1" s="28">
        <f>COUNTA(Dataset!B3:B51)</f>
        <v/>
      </c>
    </row>
    <row r="2" ht="15" customHeight="1" s="16">
      <c r="A2" s="27" t="inlineStr">
        <is>
          <t>Rows remaining</t>
        </is>
      </c>
      <c r="B2" s="28">
        <f>50-B1</f>
        <v/>
      </c>
    </row>
    <row r="4" ht="15" customHeight="1" s="16">
      <c r="A4" s="29" t="inlineStr">
        <is>
          <t>Domain split (Startup / Tech-OSS / Financial-Product)</t>
        </is>
      </c>
      <c r="B4" s="15">
        <f>COUNTIF(Dataset!C3:C51,"Startup")</f>
        <v/>
      </c>
      <c r="C4" s="15">
        <f>COUNTIF(Dataset!C3:C51,"Tech-OSS")</f>
        <v/>
      </c>
      <c r="D4" s="15">
        <f>COUNTIF(Dataset!C3:C51,"Financial-Product")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2026-09-25T17:38:04Z</dcterms:created>
  <dcterms:modified xmlns:dcterms="http://purl.org/dc/terms/" xmlns:xsi="http://www.w3.org/2001/XMLSchema-instance" xsi:type="dcterms:W3CDTF">2026-09-26T13:14:56Z</dcterms:modified>
  <cp:revision>1</cp:revision>
</cp:coreProperties>
</file>